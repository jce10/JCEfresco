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45a0bfdc7b4a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13C OMP" sheetId="1" r:id="Rf5670df4e6ba42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172033"/>
      <x:name val="Arial"/>
    </x:font>
    <x:font>
      <x:sz val="11"/>
      <x:color rgb="FF475569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334155"/>
      </x:patternFill>
    </x:fill>
    <x:fill>
      <x:patternFill patternType="solid">
        <x:fgColor rgb="FFEEF2F6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64748B"/>
      </x:bottom>
      <x:diagonal/>
    </x:border>
    <x:border>
      <x:left/>
      <x:right/>
      <x:top/>
      <x:bottom style="thin">
        <x:color rgb="FFCBD5E1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horizontal="right" vertical="center"/>
    </x:xf>
    <x:xf numFmtId="200" fontId="1" fillId="2" borderId="2" xfId="0" applyNumberFormat="1" applyFont="1" applyFill="1" applyBorder="1" applyAlignment="1">
      <x:alignment horizontal="right" vertical="center"/>
    </x:xf>
    <x:xf numFmtId="200" fontId="1" fillId="0" borderId="2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35c855810b4593" /><Relationship Type="http://schemas.openxmlformats.org/officeDocument/2006/relationships/theme" Target="/xl/theme/theme1.xml" Id="R4ed4cb9f74bf4a29" /><Relationship Type="http://schemas.openxmlformats.org/officeDocument/2006/relationships/sharedStrings" Target="/xl/sharedStrings.xml" Id="R9ee6f33d16f54fc6" /><Relationship Type="http://schemas.openxmlformats.org/officeDocument/2006/relationships/worksheet" Target="/xl/worksheets/sheet1.xml" Id="Rf5670df4e6ba42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34155"/>
  </x:sheetPr>
  <x:sheetViews>
    <x:sheetView showGridLines="0" workbookViewId="0"/>
  </x:sheetViews>
  <x:sheetFormatPr defaultRowHeight="15"/>
  <x:cols>
    <x:col min="1" max="1" width="17" hidden="0" customWidth="1"/>
    <x:col min="2" max="2" width="10" hidden="0" customWidth="1"/>
    <x:col min="3" max="3" width="2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3" t="str">
        <x:v>p + 13C optical potential</x:v>
      </x:c>
      <x:c r="B2" s="2"/>
      <x:c r="C2" s="2"/>
      <x:c r="D2" s="2"/>
      <x:c r="E2" s="2"/>
      <x:c r="F2" s="2"/>
    </x:row>
    <x:row r="3" ht="24" customHeight="1">
      <x:c r="A3" s="4"/>
      <x:c r="B3" s="4"/>
      <x:c r="C3" s="4"/>
      <x:c r="D3" s="4"/>
      <x:c r="E3" s="4"/>
      <x:c r="F3" s="4"/>
    </x:row>
    <x:row r="4" ht="24" customHeight="1">
      <x:c r="A4" s="2"/>
      <x:c r="B4" s="2"/>
      <x:c r="C4" s="2"/>
      <x:c r="D4" s="2"/>
      <x:c r="E4" s="2"/>
      <x:c r="F4" s="2"/>
    </x:row>
    <x:row r="5" ht="24" customHeight="1">
      <x:c r="A5" s="2" t="str">
        <x:v>Ecm (MeV)</x:v>
      </x:c>
      <x:c r="B5" s="2"/>
      <x:c r="C5" s="2"/>
      <x:c r="D5" s="6"/>
      <x:c r="E5" s="2"/>
      <x:c r="F5" s="2"/>
    </x:row>
    <x:row r="6" ht="24" customHeight="1">
      <x:c r="A6" s="7" t="str">
        <x:v>Enter p + 13C channel Ecm in D5. Enter your OMP values in column E.</x:v>
      </x:c>
      <x:c r="B6" s="2"/>
      <x:c r="C6" s="2"/>
      <x:c r="D6" s="2"/>
      <x:c r="E6" s="2"/>
      <x:c r="F6" s="2"/>
    </x:row>
    <x:row r="7" ht="24" customHeight="1">
      <x:c r="A7" s="2"/>
      <x:c r="B7" s="2"/>
      <x:c r="C7" s="2"/>
      <x:c r="D7" s="2"/>
      <x:c r="E7" s="2"/>
      <x:c r="F7" s="2"/>
    </x:row>
    <x:row r="8" ht="30" customHeight="1">
      <x:c r="A8" s="10" t="str">
        <x:v>Parameter</x:v>
      </x:c>
      <x:c r="B8" s="10" t="str">
        <x:v>Unit</x:v>
      </x:c>
      <x:c r="C8" s="10" t="str">
        <x:v>Table equation</x:v>
      </x:c>
      <x:c r="D8" s="10" t="str">
        <x:v>Calculated</x:v>
      </x:c>
      <x:c r="E8" s="10" t="str">
        <x:v>Your OMP</x:v>
      </x:c>
      <x:c r="F8" s="10" t="str">
        <x:v>Yours − calculated</x:v>
      </x:c>
    </x:row>
    <x:row r="9" ht="24" customHeight="1">
      <x:c r="A9" s="2" t="str">
        <x:v>V0</x:v>
      </x:c>
      <x:c r="B9" s="2" t="str">
        <x:v>MeV</x:v>
      </x:c>
      <x:c r="C9" s="2" t="str">
        <x:v>63.1 − 0.3 Ecm</x:v>
      </x:c>
      <x:c r="D9" s="14" t="str">
        <x:f>IF(ISNUMBER($D$5),63.1-0.3*$D$5,"")</x:f>
      </x:c>
      <x:c r="E9" s="13"/>
      <x:c r="F9" s="12" t="str">
        <x:f>IF(AND(ISNUMBER(E9),ISNUMBER(D9)),E9-D9,"")</x:f>
      </x:c>
    </x:row>
    <x:row r="10" ht="24" customHeight="1">
      <x:c r="A10" s="2" t="str">
        <x:v>r0</x:v>
      </x:c>
      <x:c r="B10" s="2" t="str">
        <x:v>fm</x:v>
      </x:c>
      <x:c r="C10" s="2" t="str">
        <x:v>1.15 − 0.001 Ecm</x:v>
      </x:c>
      <x:c r="D10" s="14" t="str">
        <x:f>IF(ISNUMBER($D$5),1.15-0.001*$D$5,"")</x:f>
      </x:c>
      <x:c r="E10" s="13"/>
      <x:c r="F10" s="12" t="str">
        <x:f>IF(AND(ISNUMBER(E10),ISNUMBER(D10)),E10-D10,"")</x:f>
      </x:c>
    </x:row>
    <x:row r="11" ht="24" customHeight="1">
      <x:c r="A11" s="2" t="str">
        <x:v>a</x:v>
      </x:c>
      <x:c r="B11" s="2" t="str">
        <x:v>fm</x:v>
      </x:c>
      <x:c r="C11" s="2" t="str">
        <x:v>0.57</x:v>
      </x:c>
      <x:c r="D11" s="14" t="n">
        <x:f>0.57</x:f>
        <x:v>0.57</x:v>
      </x:c>
      <x:c r="E11" s="13"/>
      <x:c r="F11" s="12" t="str">
        <x:f>IF(AND(ISNUMBER(E11),ISNUMBER(D11)),E11-D11,"")</x:f>
      </x:c>
    </x:row>
    <x:row r="12" ht="24" customHeight="1">
      <x:c r="A12" s="2" t="str">
        <x:v>WD</x:v>
      </x:c>
      <x:c r="B12" s="2" t="str">
        <x:v>MeV</x:v>
      </x:c>
      <x:c r="C12" s="2" t="str">
        <x:v>10.37 − 0.06 Ecm</x:v>
      </x:c>
      <x:c r="D12" s="14" t="str">
        <x:f>IF(ISNUMBER($D$5),10.37-0.06*$D$5,"")</x:f>
      </x:c>
      <x:c r="E12" s="13"/>
      <x:c r="F12" s="12" t="str">
        <x:f>IF(AND(ISNUMBER(E12),ISNUMBER(D12)),E12-D12,"")</x:f>
      </x:c>
    </x:row>
    <x:row r="13" ht="24" customHeight="1">
      <x:c r="A13" s="2" t="str">
        <x:v>rD</x:v>
      </x:c>
      <x:c r="B13" s="2" t="str">
        <x:v>fm</x:v>
      </x:c>
      <x:c r="C13" s="2" t="str">
        <x:v>1.15 − 0.001 Ecm</x:v>
      </x:c>
      <x:c r="D13" s="14" t="str">
        <x:f>IF(ISNUMBER($D$5),1.15-0.001*$D$5,"")</x:f>
      </x:c>
      <x:c r="E13" s="13"/>
      <x:c r="F13" s="12" t="str">
        <x:f>IF(AND(ISNUMBER(E13),ISNUMBER(D13)),E13-D13,"")</x:f>
      </x:c>
    </x:row>
    <x:row r="14" ht="24" customHeight="1">
      <x:c r="A14" s="2" t="str">
        <x:v>aD</x:v>
      </x:c>
      <x:c r="B14" s="2" t="str">
        <x:v>fm</x:v>
      </x:c>
      <x:c r="C14" s="2" t="str">
        <x:v>0.5</x:v>
      </x:c>
      <x:c r="D14" s="14" t="n">
        <x:f>0.5</x:f>
        <x:v>0.5</x:v>
      </x:c>
      <x:c r="E14" s="13"/>
      <x:c r="F14" s="12" t="str">
        <x:f>IF(AND(ISNUMBER(E14),ISNUMBER(D14)),E14-D14,"")</x:f>
      </x:c>
    </x:row>
    <x:row r="15" ht="24" customHeight="1">
      <x:c r="A15" s="2" t="str">
        <x:v>Vs.o.</x:v>
      </x:c>
      <x:c r="B15" s="2" t="str">
        <x:v>MeV</x:v>
      </x:c>
      <x:c r="C15" s="2" t="str">
        <x:v>5.5</x:v>
      </x:c>
      <x:c r="D15" s="14" t="n">
        <x:f>5.5</x:f>
        <x:v>5.5</x:v>
      </x:c>
      <x:c r="E15" s="13"/>
      <x:c r="F15" s="12" t="str">
        <x:f>IF(AND(ISNUMBER(E15),ISNUMBER(D15)),E15-D15,"")</x:f>
      </x:c>
    </x:row>
    <x:row r="16" ht="24" customHeight="1">
      <x:c r="A16" s="2" t="str">
        <x:v>rs.o.</x:v>
      </x:c>
      <x:c r="B16" s="2" t="str">
        <x:v>fm</x:v>
      </x:c>
      <x:c r="C16" s="2" t="str">
        <x:v>1.15 − 0.001 Ecm</x:v>
      </x:c>
      <x:c r="D16" s="14" t="str">
        <x:f>IF(ISNUMBER($D$5),1.15-0.001*$D$5,"")</x:f>
      </x:c>
      <x:c r="E16" s="13"/>
      <x:c r="F16" s="12" t="str">
        <x:f>IF(AND(ISNUMBER(E16),ISNUMBER(D16)),E16-D16,"")</x:f>
      </x:c>
    </x:row>
    <x:row r="17" ht="24" customHeight="1">
      <x:c r="A17" s="2" t="str">
        <x:v>as.o.</x:v>
      </x:c>
      <x:c r="B17" s="2" t="str">
        <x:v>fm</x:v>
      </x:c>
      <x:c r="C17" s="2" t="str">
        <x:v>0.57</x:v>
      </x:c>
      <x:c r="D17" s="14" t="n">
        <x:f>0.57</x:f>
        <x:v>0.57</x:v>
      </x:c>
      <x:c r="E17" s="13"/>
      <x:c r="F17" s="12" t="str">
        <x:f>IF(AND(ISNUMBER(E17),ISNUMBER(D17)),E17-D17,"")</x:f>
      </x:c>
    </x:row>
    <x:row r="18" ht="24" customHeight="1">
      <x:c r="A18" s="15" t="str">
        <x:v>rc</x:v>
      </x:c>
      <x:c r="B18" s="15" t="str">
        <x:v>fm</x:v>
      </x:c>
      <x:c r="C18" s="15" t="str">
        <x:v>1.15 − 0.001 Ecm</x:v>
      </x:c>
      <x:c r="D18" s="16" t="str">
        <x:f>IF(ISNUMBER($D$5),1.15-0.001*$D$5,"")</x:f>
      </x:c>
      <x:c r="E18" s="17"/>
      <x:c r="F18" s="18" t="str">
        <x:f>IF(AND(ISNUMBER(E18),ISNUMBER(D18)),E18-D18,"")</x:f>
      </x:c>
    </x:row>
    <x:row r="19" ht="24" customHeight="1">
      <x:c r="A19" s="2"/>
      <x:c r="B19" s="2"/>
      <x:c r="C19" s="2"/>
      <x:c r="D19" s="2"/>
      <x:c r="E19" s="2"/>
      <x:c r="F19" s="2"/>
    </x:row>
    <x:row r="20" ht="24" customHeight="1">
      <x:c r="A20" s="7" t="str">
        <x:v>Yellow cells are editable. Differences use the unit in column B.</x:v>
      </x:c>
      <x:c r="B20" s="2"/>
      <x:c r="C20" s="2"/>
      <x:c r="D20" s="2"/>
      <x:c r="E20" s="2"/>
      <x:c r="F20" s="2"/>
    </x:row>
    <x:row r="21" ht="24" customHeight="1">
      <x:c r="A21" s="7" t="str">
        <x:v>Energy-dependent results stay blank until Ecm is entered. Zero is a valid input.</x:v>
      </x:c>
      <x:c r="B21" s="2"/>
      <x:c r="C21" s="2"/>
      <x:c r="D21" s="2"/>
      <x:c r="E21" s="2"/>
      <x:c r="F21" s="2"/>
    </x:row>
    <x:row r="22" ht="24" customHeight="1">
      <x:c r="A22" s="7" t="str">
        <x:v>Radius and diffuseness values are in fm, as printed in the table.</x:v>
      </x:c>
      <x:c r="B22" s="2"/>
      <x:c r="C22" s="2"/>
      <x:c r="D22" s="2"/>
      <x:c r="E22" s="2"/>
      <x:c r="F22" s="2"/>
    </x:row>
    <x:row r="23" ht="24" customHeight="1">
      <x:c r="A23" s="7" t="str">
        <x:v>Source: H. Ohnuma et al., 12C(d,p)13C, Table 1, p. 208 (supplied image).</x:v>
      </x:c>
      <x:c r="B23" s="2"/>
      <x:c r="C23" s="2"/>
      <x:c r="D23" s="2"/>
      <x:c r="E23" s="2"/>
      <x:c r="F23" s="2"/>
    </x:row>
    <x:row r="24" ht="24" customHeight="1">
      <x:c r="A24" s="2"/>
      <x:c r="B24" s="2"/>
      <x:c r="C24" s="2"/>
      <x:c r="D24" s="2"/>
      <x:c r="E24" s="2"/>
      <x:c r="F24" s="2"/>
    </x:row>
  </x:sheetData>
  <x:pageMargins left="0.7" right="0.7" top="0.75" bottom="0.75" header="0.3" footer="0.3"/>
</x:worksheet>
</file>